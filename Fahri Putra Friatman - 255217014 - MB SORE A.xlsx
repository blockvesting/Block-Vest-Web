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85" windowHeight="6617" firstSheet="1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<sst xmlns="http://schemas.openxmlformats.org/spreadsheetml/2006/main" count="181" uniqueCount="108">
  <si>
    <t>Rumus (untuk ditulis di Excel)</t>
  </si>
  <si>
    <t>No</t>
  </si>
  <si>
    <t>Nama</t>
  </si>
  <si>
    <t>Tanggal Masuk</t>
  </si>
  <si>
    <t>tanggal kluar</t>
  </si>
  <si>
    <t>Kode Kamar</t>
  </si>
  <si>
    <t xml:space="preserve">     Tipe Kamar</t>
  </si>
  <si>
    <t>Fasilitas</t>
  </si>
  <si>
    <t>Harga</t>
  </si>
  <si>
    <t>Lama</t>
  </si>
  <si>
    <t>Total Bayar</t>
  </si>
  <si>
    <t>Diskon</t>
  </si>
  <si>
    <t>Ttl Stelah Diskon</t>
  </si>
  <si>
    <t>Keterangan</t>
  </si>
  <si>
    <t>Lama = Tgl Keluar - Tgl Masuk</t>
  </si>
  <si>
    <t>Alif</t>
  </si>
  <si>
    <t>A1X</t>
  </si>
  <si>
    <t>Total Bayar = Harga × Lama</t>
  </si>
  <si>
    <t>Alia</t>
  </si>
  <si>
    <t>B2Y</t>
  </si>
  <si>
    <t>Ttl Stlh Diskon = Total Bayar - Diskon</t>
  </si>
  <si>
    <t>Kakang</t>
  </si>
  <si>
    <t>C3Z</t>
  </si>
  <si>
    <t>Lily</t>
  </si>
  <si>
    <t>D4W</t>
  </si>
  <si>
    <t>Kiki</t>
  </si>
  <si>
    <t>E5P</t>
  </si>
  <si>
    <t>Akmal</t>
  </si>
  <si>
    <t>Memey</t>
  </si>
  <si>
    <t>Nara</t>
  </si>
  <si>
    <t>Agnia</t>
  </si>
  <si>
    <t>Aziz</t>
  </si>
  <si>
    <t>Nisa</t>
  </si>
  <si>
    <t>Min</t>
  </si>
  <si>
    <t>Max</t>
  </si>
  <si>
    <t>Rata - Rata</t>
  </si>
  <si>
    <t>Total</t>
  </si>
  <si>
    <t>Tabel Harga IF POSISI</t>
  </si>
  <si>
    <t>Tabel Fasilitas Kamar (VLOOKUP Posisi)</t>
  </si>
  <si>
    <t>Tabel Diskon (Jika Lama Tinggal &gt; 5 Hari → Sort V)</t>
  </si>
  <si>
    <t>Tabel Keterangan (Jika Pesan &gt; 1 jt → Sort V)</t>
  </si>
  <si>
    <t>Tipe Kamar</t>
  </si>
  <si>
    <t>A</t>
  </si>
  <si>
    <t>Twin Romm</t>
  </si>
  <si>
    <t>P</t>
  </si>
  <si>
    <t>3</t>
  </si>
  <si>
    <t>Mini Bar</t>
  </si>
  <si>
    <t>X</t>
  </si>
  <si>
    <t>5</t>
  </si>
  <si>
    <t>Bed Cover</t>
  </si>
  <si>
    <t>E</t>
  </si>
  <si>
    <t>Suite Room</t>
  </si>
  <si>
    <t>W</t>
  </si>
  <si>
    <t>4</t>
  </si>
  <si>
    <t>Sofa</t>
  </si>
  <si>
    <t>Y</t>
  </si>
  <si>
    <t>Handuk Besar</t>
  </si>
  <si>
    <t>B</t>
  </si>
  <si>
    <t>Single Room</t>
  </si>
  <si>
    <t>1</t>
  </si>
  <si>
    <t>Kursi Meja</t>
  </si>
  <si>
    <t>Z</t>
  </si>
  <si>
    <t>Handuk Kecil</t>
  </si>
  <si>
    <t>C</t>
  </si>
  <si>
    <t>Studio Rom</t>
  </si>
  <si>
    <t>Kasur</t>
  </si>
  <si>
    <t>Bantal</t>
  </si>
  <si>
    <t>D</t>
  </si>
  <si>
    <t>Double Room</t>
  </si>
  <si>
    <t>2</t>
  </si>
  <si>
    <t>Televisi</t>
  </si>
  <si>
    <t>Guling</t>
  </si>
  <si>
    <t>Barang</t>
  </si>
  <si>
    <t xml:space="preserve">        Nama</t>
  </si>
  <si>
    <t>Jan</t>
  </si>
  <si>
    <t>Feb</t>
  </si>
  <si>
    <t>Mar</t>
  </si>
  <si>
    <t>Apr</t>
  </si>
  <si>
    <t>Mei</t>
  </si>
  <si>
    <t>Kota</t>
  </si>
  <si>
    <t>Garam Halus</t>
  </si>
  <si>
    <t>Ziko</t>
  </si>
  <si>
    <t>Bandung</t>
  </si>
  <si>
    <t>Garam Kasar</t>
  </si>
  <si>
    <t>Zaki</t>
  </si>
  <si>
    <t>Bogor</t>
  </si>
  <si>
    <t>Garam Himalaya</t>
  </si>
  <si>
    <t>Zeka</t>
  </si>
  <si>
    <t>Bekasi</t>
  </si>
  <si>
    <t>Garam Mandi</t>
  </si>
  <si>
    <t>Zorro</t>
  </si>
  <si>
    <t>Garam Celtic</t>
  </si>
  <si>
    <t>Zuzu</t>
  </si>
  <si>
    <t>Yaya</t>
  </si>
  <si>
    <t>Yayi</t>
  </si>
  <si>
    <t>Yayo</t>
  </si>
  <si>
    <t>Yuyu</t>
  </si>
  <si>
    <t>Koko</t>
  </si>
  <si>
    <t>Kaka</t>
  </si>
  <si>
    <t>Kiko</t>
  </si>
  <si>
    <t>Koku</t>
  </si>
  <si>
    <t>Mami</t>
  </si>
  <si>
    <t>Mimi</t>
  </si>
  <si>
    <t>Mumu</t>
  </si>
  <si>
    <t>Mama</t>
  </si>
  <si>
    <t>Momo</t>
  </si>
  <si>
    <t>Sum of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</si>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</sst>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&quot;Rp&quot;#,##0;\-&quot;Rp&quot;#,##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80" fontId="0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1" xfId="0" applyNumberFormat="1" applyFont="1" applyBorder="1" applyAlignment="1">
      <alignment horizontal="center" vertical="center"/>
    </xf>
    <xf numFmtId="181" fontId="0" fillId="0" borderId="1" xfId="0" applyNumberFormat="1" applyFont="1" applyBorder="1" applyAlignment="1">
      <alignment horizontal="center" vertical="center"/>
    </xf>
    <xf numFmtId="181" fontId="0" fillId="0" borderId="1" xfId="0" applyNumberFormat="1" applyFont="1" applyBorder="1">
      <alignment vertical="center"/>
    </xf>
    <xf numFmtId="0" fontId="0" fillId="0" borderId="1" xfId="0" applyFont="1" applyBorder="1" applyAlignment="1">
      <alignment horizontal="right" vertical="center"/>
    </xf>
    <xf numFmtId="0" fontId="1" fillId="0" borderId="1" xfId="0" applyFont="1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www.wps.cn/officeDocument/2021/sharedlinks" Target="sharedlinks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0.8393402778" refreshedBy="hsl" recordCount="20">
  <cacheSource type="worksheet">
    <worksheetSource ref="B6:K26" sheet="Sheet2"/>
  </cacheSource>
  <cacheFields count="10">
    <cacheField name="No" numFmtId="0">
      <sharedItems containsSemiMixedTypes="0" containsString="0" containsNumber="1" containsInteger="1" minValue="0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Barang" numFmtId="0">
      <sharedItems count="5">
        <s v="Garam Halus"/>
        <s v="Garam Kasar"/>
        <s v="Garam Himalaya"/>
        <s v="Garam Mandi"/>
        <s v="Garam Celtic"/>
      </sharedItems>
    </cacheField>
    <cacheField name="        Nama" numFmtId="0">
      <sharedItems count="19">
        <s v="Ziko"/>
        <s v="Zaki"/>
        <s v="Zeka"/>
        <s v="Zorro"/>
        <s v="Zuzu"/>
        <s v="Yaya"/>
        <s v="Yayi"/>
        <s v="Yayo"/>
        <s v="Yuyu"/>
        <s v="Kiki"/>
        <s v="Koko"/>
        <s v="Kaka"/>
        <s v="Kiko"/>
        <s v="Koku"/>
        <s v="Mami"/>
        <s v="Mimi"/>
        <s v="Mumu"/>
        <s v="Mama"/>
        <s v="Momo"/>
      </sharedItems>
    </cacheField>
    <cacheField name="Jan" numFmtId="0">
      <sharedItems containsSemiMixedTypes="0" containsString="0" containsNumber="1" containsInteger="1" minValue="0" maxValue="18" count="6">
        <n v="10"/>
        <n v="12"/>
        <n v="14"/>
        <n v="8"/>
        <n v="16"/>
        <n v="18"/>
      </sharedItems>
    </cacheField>
    <cacheField name="Feb" numFmtId="0">
      <sharedItems containsSemiMixedTypes="0" containsString="0" containsNumber="1" containsInteger="1" minValue="0" maxValue="18" count="5">
        <n v="12"/>
        <n v="14"/>
        <n v="16"/>
        <n v="10"/>
        <n v="18"/>
      </sharedItems>
    </cacheField>
    <cacheField name="Mar" numFmtId="0">
      <sharedItems containsSemiMixedTypes="0" containsString="0" containsNumber="1" containsInteger="1" minValue="0" maxValue="18" count="5">
        <n v="14"/>
        <n v="16"/>
        <n v="10"/>
        <n v="18"/>
        <n v="12"/>
      </sharedItems>
    </cacheField>
    <cacheField name="Apr" numFmtId="0">
      <sharedItems containsSemiMixedTypes="0" containsString="0" containsNumber="1" containsInteger="1" minValue="0" maxValue="18" count="6">
        <n v="10"/>
        <n v="8"/>
        <n v="14"/>
        <n v="12"/>
        <n v="16"/>
        <n v="18"/>
      </sharedItems>
    </cacheField>
    <cacheField name="Mei" numFmtId="0">
      <sharedItems containsSemiMixedTypes="0" containsString="0" containsNumber="1" containsInteger="1" minValue="0" maxValue="18" count="4">
        <n v="16"/>
        <n v="18"/>
        <n v="12"/>
        <n v="14"/>
      </sharedItems>
    </cacheField>
    <cacheField name="Total" numFmtId="0">
      <sharedItems containsSemiMixedTypes="0" containsString="0" containsNumber="1" containsInteger="1" minValue="0" maxValue="78" count="8">
        <n v="62"/>
        <n v="68"/>
        <n v="74"/>
        <n v="70"/>
        <n v="76"/>
        <n v="58"/>
        <n v="60"/>
        <n v="78"/>
      </sharedItems>
    </cacheField>
    <cacheField name="Kota" numFmtId="0">
      <sharedItems count="3">
        <s v="Bandung"/>
        <s v="Bogor"/>
        <s v="Bekasi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2"/>
    <x v="0"/>
    <x v="2"/>
    <x v="2"/>
    <x v="2"/>
    <x v="2"/>
    <x v="0"/>
    <x v="2"/>
  </r>
  <r>
    <x v="3"/>
    <x v="3"/>
    <x v="3"/>
    <x v="2"/>
    <x v="2"/>
    <x v="3"/>
    <x v="3"/>
    <x v="3"/>
    <x v="2"/>
    <x v="0"/>
  </r>
  <r>
    <x v="4"/>
    <x v="4"/>
    <x v="4"/>
    <x v="1"/>
    <x v="1"/>
    <x v="3"/>
    <x v="2"/>
    <x v="0"/>
    <x v="2"/>
    <x v="2"/>
  </r>
  <r>
    <x v="5"/>
    <x v="0"/>
    <x v="5"/>
    <x v="0"/>
    <x v="0"/>
    <x v="3"/>
    <x v="4"/>
    <x v="3"/>
    <x v="3"/>
    <x v="1"/>
  </r>
  <r>
    <x v="6"/>
    <x v="1"/>
    <x v="6"/>
    <x v="1"/>
    <x v="1"/>
    <x v="1"/>
    <x v="2"/>
    <x v="2"/>
    <x v="1"/>
    <x v="2"/>
  </r>
  <r>
    <x v="7"/>
    <x v="2"/>
    <x v="5"/>
    <x v="2"/>
    <x v="2"/>
    <x v="2"/>
    <x v="5"/>
    <x v="1"/>
    <x v="4"/>
    <x v="1"/>
  </r>
  <r>
    <x v="8"/>
    <x v="3"/>
    <x v="7"/>
    <x v="3"/>
    <x v="3"/>
    <x v="0"/>
    <x v="3"/>
    <x v="3"/>
    <x v="5"/>
    <x v="2"/>
  </r>
  <r>
    <x v="9"/>
    <x v="4"/>
    <x v="8"/>
    <x v="4"/>
    <x v="4"/>
    <x v="4"/>
    <x v="2"/>
    <x v="0"/>
    <x v="4"/>
    <x v="0"/>
  </r>
  <r>
    <x v="10"/>
    <x v="0"/>
    <x v="9"/>
    <x v="0"/>
    <x v="0"/>
    <x v="0"/>
    <x v="1"/>
    <x v="0"/>
    <x v="6"/>
    <x v="1"/>
  </r>
  <r>
    <x v="11"/>
    <x v="1"/>
    <x v="10"/>
    <x v="1"/>
    <x v="1"/>
    <x v="1"/>
    <x v="0"/>
    <x v="1"/>
    <x v="3"/>
    <x v="0"/>
  </r>
  <r>
    <x v="12"/>
    <x v="2"/>
    <x v="11"/>
    <x v="5"/>
    <x v="2"/>
    <x v="3"/>
    <x v="2"/>
    <x v="2"/>
    <x v="7"/>
    <x v="2"/>
  </r>
  <r>
    <x v="13"/>
    <x v="3"/>
    <x v="12"/>
    <x v="2"/>
    <x v="2"/>
    <x v="3"/>
    <x v="3"/>
    <x v="3"/>
    <x v="2"/>
    <x v="1"/>
  </r>
  <r>
    <x v="14"/>
    <x v="4"/>
    <x v="13"/>
    <x v="1"/>
    <x v="1"/>
    <x v="3"/>
    <x v="2"/>
    <x v="0"/>
    <x v="2"/>
    <x v="0"/>
  </r>
  <r>
    <x v="15"/>
    <x v="0"/>
    <x v="14"/>
    <x v="0"/>
    <x v="0"/>
    <x v="3"/>
    <x v="4"/>
    <x v="3"/>
    <x v="3"/>
    <x v="2"/>
  </r>
  <r>
    <x v="16"/>
    <x v="1"/>
    <x v="15"/>
    <x v="1"/>
    <x v="1"/>
    <x v="1"/>
    <x v="2"/>
    <x v="2"/>
    <x v="1"/>
    <x v="1"/>
  </r>
  <r>
    <x v="17"/>
    <x v="2"/>
    <x v="16"/>
    <x v="2"/>
    <x v="2"/>
    <x v="2"/>
    <x v="5"/>
    <x v="1"/>
    <x v="4"/>
    <x v="2"/>
  </r>
  <r>
    <x v="18"/>
    <x v="3"/>
    <x v="17"/>
    <x v="3"/>
    <x v="3"/>
    <x v="0"/>
    <x v="3"/>
    <x v="3"/>
    <x v="5"/>
    <x v="0"/>
  </r>
  <r>
    <x v="19"/>
    <x v="4"/>
    <x v="18"/>
    <x v="4"/>
    <x v="4"/>
    <x v="4"/>
    <x v="2"/>
    <x v="0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10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compact="0" showAll="0">
      <items count="6">
        <item x="4"/>
        <item x="0"/>
        <item x="2"/>
        <item x="1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9">
        <item x="5"/>
        <item x="6"/>
        <item x="0"/>
        <item x="1"/>
        <item x="3"/>
        <item x="2"/>
        <item x="4"/>
        <item x="7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0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9">
        <item x="5"/>
        <item x="6"/>
        <item x="0"/>
        <item x="1"/>
        <item x="3"/>
        <item x="2"/>
        <item x="4"/>
        <item x="7"/>
        <item t="default"/>
      </items>
    </pivotField>
    <pivotField axis="axisRow" compact="0" showAll="0">
      <items count="4">
        <item x="0"/>
        <item x="2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P33"/>
  <sheetViews>
    <sheetView tabSelected="1" zoomScale="70" zoomScaleNormal="70" topLeftCell="E1" workbookViewId="0">
      <selection activeCell="O23" sqref="O23"/>
    </sheetView>
  </sheetViews>
  <sheetFormatPr defaultColWidth="9.1" defaultRowHeight="14.55"/>
  <cols>
    <col min="1" max="1" width="11.2166666666667" customWidth="1"/>
    <col min="2" max="2" width="11.9333333333333" customWidth="1"/>
    <col min="3" max="3" width="14.6916666666667" customWidth="1"/>
    <col min="4" max="4" width="14.5666666666667" customWidth="1"/>
    <col min="5" max="5" width="16.9333333333333" customWidth="1"/>
    <col min="6" max="6" width="14.4166666666667" customWidth="1"/>
    <col min="7" max="7" width="14.9" customWidth="1"/>
    <col min="8" max="8" width="17.975" customWidth="1"/>
    <col min="9" max="9" width="13.8666666666667" customWidth="1"/>
    <col min="10" max="10" width="13.1833333333333" customWidth="1"/>
    <col min="11" max="11" width="13.675" customWidth="1"/>
    <col min="12" max="12" width="12.75" customWidth="1"/>
    <col min="13" max="13" width="17.1416666666667" customWidth="1"/>
    <col min="14" max="14" width="12.3416666666667" customWidth="1"/>
    <col min="15" max="15" width="12.925" customWidth="1"/>
  </cols>
  <sheetData>
    <row r="4" spans="2:16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t="s">
        <v>0</v>
      </c>
    </row>
    <row r="5" spans="1:16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9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O5" s="2"/>
      <c r="P5" t="s">
        <v>14</v>
      </c>
    </row>
    <row r="6" spans="1:16">
      <c r="A6" s="4">
        <v>1</v>
      </c>
      <c r="B6" s="5" t="s">
        <v>15</v>
      </c>
      <c r="C6" s="6">
        <v>44743</v>
      </c>
      <c r="D6" s="6">
        <v>44747</v>
      </c>
      <c r="E6" s="4" t="s">
        <v>16</v>
      </c>
      <c r="F6" s="5" t="str">
        <f>VLOOKUP(E6,$A$29:$B$33,2)</f>
        <v>Twin Romm</v>
      </c>
      <c r="G6" s="5" t="str">
        <f>VLOOKUP(MID(E6,2,1),$G$29:$H$33,2,FALSE)</f>
        <v>Kursi Meja</v>
      </c>
      <c r="H6" s="10">
        <f>IF(RIGHT(E6,1)="P",400000,IF(RIGHT(E6,1)="W",600000,IF(RIGHT(E6,1)="X",900000,IF(RIGHT(E6,1)="Y",800000,IF(RIGHT(E6,1)="Z",450000,0)))))</f>
        <v>900000</v>
      </c>
      <c r="I6" s="4">
        <f>D6-C6</f>
        <v>4</v>
      </c>
      <c r="J6" s="10">
        <f>H6*I6</f>
        <v>3600000</v>
      </c>
      <c r="K6" s="12">
        <f>IF(I6&gt;5,VLOOKUP(RIGHT(E6,1),$J$29:$K$33,2,FALSE),0)*J6</f>
        <v>0</v>
      </c>
      <c r="L6" s="4">
        <f>J6-K6</f>
        <v>3600000</v>
      </c>
      <c r="M6" s="5" t="str">
        <f>IF(K6&gt;1000000,VLOOKUP(MID(E6,2,1),$N$29:$O$33,2,0),"-")</f>
        <v>-</v>
      </c>
      <c r="O6" s="2"/>
      <c r="P6" t="s">
        <v>17</v>
      </c>
    </row>
    <row r="7" spans="1:16">
      <c r="A7" s="4">
        <v>2</v>
      </c>
      <c r="B7" s="5" t="s">
        <v>18</v>
      </c>
      <c r="C7" s="6">
        <v>44745</v>
      </c>
      <c r="D7" s="6">
        <v>44751</v>
      </c>
      <c r="E7" s="4" t="s">
        <v>19</v>
      </c>
      <c r="F7" s="5" t="str">
        <f t="shared" ref="F7:F16" si="0">VLOOKUP(E7,$A$29:$B$33,2)</f>
        <v>Single Room</v>
      </c>
      <c r="G7" s="5" t="str">
        <f t="shared" ref="G7:G16" si="1">VLOOKUP(MID(E7,2,1),$G$29:$H$33,2,FALSE)</f>
        <v>Televisi</v>
      </c>
      <c r="H7" s="10">
        <f t="shared" ref="H7:H16" si="2">IF(RIGHT(E7,1)="P",400000,IF(RIGHT(E7,1)="W",600000,IF(RIGHT(E7,1)="X",900000,IF(RIGHT(E7,1)="Y",800000,IF(RIGHT(E7,1)="Z",450000,0)))))</f>
        <v>800000</v>
      </c>
      <c r="I7" s="4">
        <f t="shared" ref="I7:I16" si="3">D7-C7</f>
        <v>6</v>
      </c>
      <c r="J7" s="10">
        <f t="shared" ref="J7:J16" si="4">H7*I7</f>
        <v>4800000</v>
      </c>
      <c r="K7" s="12">
        <f t="shared" ref="K7:K16" si="5">IF(I7&gt;5,VLOOKUP(RIGHT(E7,1),$J$29:$K$33,2,FALSE),0)*J7</f>
        <v>1440000</v>
      </c>
      <c r="L7" s="4">
        <f t="shared" ref="L7:L16" si="6">J7-K7</f>
        <v>3360000</v>
      </c>
      <c r="M7" s="5" t="str">
        <f t="shared" ref="M7:M16" si="7">IF(K7&gt;1000000,VLOOKUP(MID(E7,2,1),$N$29:$O$33,2,0),"-")</f>
        <v>Guling</v>
      </c>
      <c r="O7" s="2"/>
      <c r="P7" t="s">
        <v>20</v>
      </c>
    </row>
    <row r="8" spans="1:15">
      <c r="A8" s="4">
        <v>3</v>
      </c>
      <c r="B8" s="5" t="s">
        <v>21</v>
      </c>
      <c r="C8" s="6">
        <v>44747</v>
      </c>
      <c r="D8" s="6">
        <v>44757</v>
      </c>
      <c r="E8" s="4" t="s">
        <v>22</v>
      </c>
      <c r="F8" s="5" t="str">
        <f t="shared" si="0"/>
        <v>Studio Rom</v>
      </c>
      <c r="G8" s="5" t="str">
        <f t="shared" si="1"/>
        <v>Mini Bar</v>
      </c>
      <c r="H8" s="10">
        <f t="shared" si="2"/>
        <v>450000</v>
      </c>
      <c r="I8" s="4">
        <f t="shared" si="3"/>
        <v>10</v>
      </c>
      <c r="J8" s="10">
        <f t="shared" si="4"/>
        <v>4500000</v>
      </c>
      <c r="K8" s="12">
        <f t="shared" si="5"/>
        <v>1800000</v>
      </c>
      <c r="L8" s="4">
        <f t="shared" si="6"/>
        <v>2700000</v>
      </c>
      <c r="M8" s="5" t="str">
        <f t="shared" si="7"/>
        <v>Bantal</v>
      </c>
      <c r="O8" s="2"/>
    </row>
    <row r="9" spans="1:15">
      <c r="A9" s="4">
        <v>4</v>
      </c>
      <c r="B9" s="5" t="s">
        <v>23</v>
      </c>
      <c r="C9" s="6">
        <v>44749</v>
      </c>
      <c r="D9" s="6">
        <v>44751</v>
      </c>
      <c r="E9" s="4" t="s">
        <v>24</v>
      </c>
      <c r="F9" s="5" t="str">
        <f t="shared" si="0"/>
        <v>Double Room</v>
      </c>
      <c r="G9" s="5" t="str">
        <f t="shared" si="1"/>
        <v>Sofa</v>
      </c>
      <c r="H9" s="10">
        <f t="shared" si="2"/>
        <v>600000</v>
      </c>
      <c r="I9" s="4">
        <f t="shared" si="3"/>
        <v>2</v>
      </c>
      <c r="J9" s="10">
        <f t="shared" si="4"/>
        <v>1200000</v>
      </c>
      <c r="K9" s="12">
        <f t="shared" si="5"/>
        <v>0</v>
      </c>
      <c r="L9" s="4">
        <f t="shared" si="6"/>
        <v>1200000</v>
      </c>
      <c r="M9" s="5" t="str">
        <f t="shared" si="7"/>
        <v>-</v>
      </c>
      <c r="O9" s="2"/>
    </row>
    <row r="10" spans="1:15">
      <c r="A10" s="4">
        <v>5</v>
      </c>
      <c r="B10" s="5" t="s">
        <v>25</v>
      </c>
      <c r="C10" s="6">
        <v>44750</v>
      </c>
      <c r="D10" s="6">
        <v>44757</v>
      </c>
      <c r="E10" s="4" t="s">
        <v>26</v>
      </c>
      <c r="F10" s="5" t="str">
        <f t="shared" si="0"/>
        <v>Double Room</v>
      </c>
      <c r="G10" s="5" t="str">
        <f t="shared" si="1"/>
        <v>Kasur</v>
      </c>
      <c r="H10" s="10">
        <f t="shared" si="2"/>
        <v>400000</v>
      </c>
      <c r="I10" s="4">
        <f t="shared" si="3"/>
        <v>7</v>
      </c>
      <c r="J10" s="10">
        <f t="shared" si="4"/>
        <v>2800000</v>
      </c>
      <c r="K10" s="12">
        <f t="shared" si="5"/>
        <v>1680000</v>
      </c>
      <c r="L10" s="4">
        <f t="shared" si="6"/>
        <v>1120000</v>
      </c>
      <c r="M10" s="5" t="str">
        <f t="shared" si="7"/>
        <v>Bed Cover</v>
      </c>
      <c r="O10" s="2"/>
    </row>
    <row r="11" spans="1:15">
      <c r="A11" s="4">
        <v>6</v>
      </c>
      <c r="B11" s="5" t="s">
        <v>27</v>
      </c>
      <c r="C11" s="6">
        <v>44751</v>
      </c>
      <c r="D11" s="6">
        <v>44759</v>
      </c>
      <c r="E11" s="4" t="s">
        <v>22</v>
      </c>
      <c r="F11" s="5" t="str">
        <f t="shared" si="0"/>
        <v>Studio Rom</v>
      </c>
      <c r="G11" s="5" t="str">
        <f t="shared" si="1"/>
        <v>Mini Bar</v>
      </c>
      <c r="H11" s="10">
        <f t="shared" si="2"/>
        <v>450000</v>
      </c>
      <c r="I11" s="4">
        <f t="shared" si="3"/>
        <v>8</v>
      </c>
      <c r="J11" s="10">
        <f t="shared" si="4"/>
        <v>3600000</v>
      </c>
      <c r="K11" s="12">
        <f t="shared" si="5"/>
        <v>1440000</v>
      </c>
      <c r="L11" s="4">
        <f t="shared" si="6"/>
        <v>2160000</v>
      </c>
      <c r="M11" s="5" t="str">
        <f t="shared" si="7"/>
        <v>Bantal</v>
      </c>
      <c r="O11" s="2"/>
    </row>
    <row r="12" spans="1:15">
      <c r="A12" s="4">
        <v>7</v>
      </c>
      <c r="B12" s="5" t="s">
        <v>28</v>
      </c>
      <c r="C12" s="6">
        <v>44753</v>
      </c>
      <c r="D12" s="6">
        <v>44757</v>
      </c>
      <c r="E12" s="4" t="s">
        <v>24</v>
      </c>
      <c r="F12" s="5" t="str">
        <f t="shared" si="0"/>
        <v>Double Room</v>
      </c>
      <c r="G12" s="5" t="str">
        <f t="shared" si="1"/>
        <v>Sofa</v>
      </c>
      <c r="H12" s="10">
        <f t="shared" si="2"/>
        <v>600000</v>
      </c>
      <c r="I12" s="4">
        <f t="shared" si="3"/>
        <v>4</v>
      </c>
      <c r="J12" s="10">
        <f t="shared" si="4"/>
        <v>2400000</v>
      </c>
      <c r="K12" s="12">
        <f t="shared" si="5"/>
        <v>0</v>
      </c>
      <c r="L12" s="4">
        <f t="shared" si="6"/>
        <v>2400000</v>
      </c>
      <c r="M12" s="5" t="str">
        <f t="shared" si="7"/>
        <v>-</v>
      </c>
      <c r="O12" s="2"/>
    </row>
    <row r="13" spans="1:15">
      <c r="A13" s="4">
        <v>8</v>
      </c>
      <c r="B13" s="5" t="s">
        <v>29</v>
      </c>
      <c r="C13" s="6">
        <v>44754</v>
      </c>
      <c r="D13" s="6">
        <v>44767</v>
      </c>
      <c r="E13" s="4" t="s">
        <v>26</v>
      </c>
      <c r="F13" s="5" t="str">
        <f t="shared" si="0"/>
        <v>Double Room</v>
      </c>
      <c r="G13" s="5" t="str">
        <f t="shared" si="1"/>
        <v>Kasur</v>
      </c>
      <c r="H13" s="10">
        <f t="shared" si="2"/>
        <v>400000</v>
      </c>
      <c r="I13" s="4">
        <f t="shared" si="3"/>
        <v>13</v>
      </c>
      <c r="J13" s="10">
        <f t="shared" si="4"/>
        <v>5200000</v>
      </c>
      <c r="K13" s="12">
        <f t="shared" si="5"/>
        <v>3120000</v>
      </c>
      <c r="L13" s="4">
        <f t="shared" si="6"/>
        <v>2080000</v>
      </c>
      <c r="M13" s="5" t="str">
        <f t="shared" si="7"/>
        <v>Bed Cover</v>
      </c>
      <c r="O13" s="2"/>
    </row>
    <row r="14" spans="1:15">
      <c r="A14" s="4">
        <v>9</v>
      </c>
      <c r="B14" s="5" t="s">
        <v>30</v>
      </c>
      <c r="C14" s="6">
        <v>44755</v>
      </c>
      <c r="D14" s="6">
        <v>44757</v>
      </c>
      <c r="E14" s="4" t="s">
        <v>19</v>
      </c>
      <c r="F14" s="5" t="str">
        <f t="shared" si="0"/>
        <v>Single Room</v>
      </c>
      <c r="G14" s="5" t="str">
        <f t="shared" si="1"/>
        <v>Televisi</v>
      </c>
      <c r="H14" s="10">
        <f t="shared" si="2"/>
        <v>800000</v>
      </c>
      <c r="I14" s="4">
        <f t="shared" si="3"/>
        <v>2</v>
      </c>
      <c r="J14" s="10">
        <f t="shared" si="4"/>
        <v>1600000</v>
      </c>
      <c r="K14" s="12">
        <f t="shared" si="5"/>
        <v>0</v>
      </c>
      <c r="L14" s="4">
        <f t="shared" si="6"/>
        <v>1600000</v>
      </c>
      <c r="M14" s="5" t="str">
        <f t="shared" si="7"/>
        <v>-</v>
      </c>
      <c r="O14" s="2"/>
    </row>
    <row r="15" spans="1:15">
      <c r="A15" s="4">
        <v>10</v>
      </c>
      <c r="B15" s="5" t="s">
        <v>31</v>
      </c>
      <c r="C15" s="6">
        <v>44757</v>
      </c>
      <c r="D15" s="6">
        <v>44767</v>
      </c>
      <c r="E15" s="4" t="s">
        <v>22</v>
      </c>
      <c r="F15" s="5" t="str">
        <f t="shared" si="0"/>
        <v>Studio Rom</v>
      </c>
      <c r="G15" s="5" t="str">
        <f t="shared" si="1"/>
        <v>Mini Bar</v>
      </c>
      <c r="H15" s="10">
        <f t="shared" si="2"/>
        <v>450000</v>
      </c>
      <c r="I15" s="4">
        <f t="shared" si="3"/>
        <v>10</v>
      </c>
      <c r="J15" s="10">
        <f t="shared" si="4"/>
        <v>4500000</v>
      </c>
      <c r="K15" s="12">
        <f t="shared" si="5"/>
        <v>1800000</v>
      </c>
      <c r="L15" s="4">
        <f t="shared" si="6"/>
        <v>2700000</v>
      </c>
      <c r="M15" s="5" t="str">
        <f t="shared" si="7"/>
        <v>Bantal</v>
      </c>
      <c r="O15" s="2"/>
    </row>
    <row r="16" spans="1:15">
      <c r="A16" s="4">
        <v>11</v>
      </c>
      <c r="B16" s="5" t="s">
        <v>32</v>
      </c>
      <c r="C16" s="6">
        <v>44763</v>
      </c>
      <c r="D16" s="6">
        <v>44767</v>
      </c>
      <c r="E16" s="4" t="s">
        <v>16</v>
      </c>
      <c r="F16" s="5" t="str">
        <f t="shared" si="0"/>
        <v>Twin Romm</v>
      </c>
      <c r="G16" s="5" t="str">
        <f t="shared" si="1"/>
        <v>Kursi Meja</v>
      </c>
      <c r="H16" s="10">
        <f t="shared" si="2"/>
        <v>900000</v>
      </c>
      <c r="I16" s="4">
        <f t="shared" si="3"/>
        <v>4</v>
      </c>
      <c r="J16" s="10">
        <f t="shared" si="4"/>
        <v>3600000</v>
      </c>
      <c r="K16" s="12">
        <f t="shared" si="5"/>
        <v>0</v>
      </c>
      <c r="L16" s="4">
        <f t="shared" si="6"/>
        <v>3600000</v>
      </c>
      <c r="M16" s="5" t="str">
        <f t="shared" si="7"/>
        <v>-</v>
      </c>
      <c r="O16" s="2"/>
    </row>
    <row r="17" spans="2:15">
      <c r="B17" s="2"/>
      <c r="C17" s="2"/>
      <c r="D17" s="2"/>
      <c r="E17" s="2"/>
      <c r="F17" s="2"/>
      <c r="G17" s="7" t="s">
        <v>33</v>
      </c>
      <c r="H17" s="11">
        <f>MIN(H6:H16)</f>
        <v>400000</v>
      </c>
      <c r="I17" s="2"/>
      <c r="J17" s="2"/>
      <c r="K17" s="2"/>
      <c r="L17" s="2"/>
      <c r="M17" s="2"/>
      <c r="N17" s="2"/>
      <c r="O17" s="2"/>
    </row>
    <row r="18" spans="2:15">
      <c r="B18" s="2"/>
      <c r="C18" s="2"/>
      <c r="D18" s="2"/>
      <c r="E18" s="2"/>
      <c r="F18" s="2"/>
      <c r="G18" s="7" t="s">
        <v>34</v>
      </c>
      <c r="H18" s="11">
        <f>MAX(H6:H16)</f>
        <v>900000</v>
      </c>
      <c r="I18" s="2"/>
      <c r="J18" s="2"/>
      <c r="K18" s="2"/>
      <c r="L18" s="2"/>
      <c r="M18" s="2"/>
      <c r="N18" s="2"/>
      <c r="O18" s="2"/>
    </row>
    <row r="19" spans="2:15">
      <c r="B19" s="2"/>
      <c r="C19" s="2"/>
      <c r="D19" s="2"/>
      <c r="E19" s="2"/>
      <c r="F19" s="2"/>
      <c r="G19" s="7" t="s">
        <v>35</v>
      </c>
      <c r="H19" s="11">
        <f>AVERAGE(H6:H16)</f>
        <v>613636.363636364</v>
      </c>
      <c r="I19" s="2"/>
      <c r="J19" s="2"/>
      <c r="K19" s="2"/>
      <c r="L19" s="2"/>
      <c r="M19" s="2"/>
      <c r="N19" s="2"/>
      <c r="O19" s="2"/>
    </row>
    <row r="20" spans="2:15">
      <c r="B20" s="2"/>
      <c r="C20" s="2"/>
      <c r="D20" s="2"/>
      <c r="E20" s="2"/>
      <c r="F20" s="2"/>
      <c r="G20" s="7" t="s">
        <v>36</v>
      </c>
      <c r="H20" s="11">
        <f>SUM(H6:H16)</f>
        <v>6750000</v>
      </c>
      <c r="I20" s="2"/>
      <c r="J20" s="2"/>
      <c r="K20" s="2"/>
      <c r="L20" s="2"/>
      <c r="M20" s="2"/>
      <c r="N20" s="2"/>
      <c r="O20" s="2"/>
    </row>
    <row r="21" spans="2:15">
      <c r="B21" s="2"/>
      <c r="C21" s="2"/>
      <c r="D21" s="2"/>
      <c r="E21" s="2"/>
      <c r="F21" s="2"/>
      <c r="G21" s="2"/>
      <c r="H21" s="2"/>
      <c r="I21" s="2"/>
      <c r="J21" s="2"/>
      <c r="N21" s="2"/>
      <c r="O21" s="2"/>
    </row>
    <row r="22" spans="4:15">
      <c r="D22" s="2"/>
      <c r="G22" s="2"/>
      <c r="J22" s="2"/>
      <c r="O22" s="2"/>
    </row>
    <row r="23" spans="4:10">
      <c r="D23" s="2"/>
      <c r="G23" s="2"/>
      <c r="J23" s="2"/>
    </row>
    <row r="24" spans="4:10">
      <c r="D24" s="2"/>
      <c r="G24" s="2"/>
      <c r="J24" s="2"/>
    </row>
    <row r="25" spans="4:10">
      <c r="D25" s="2"/>
      <c r="G25" s="2"/>
      <c r="J25" s="2"/>
    </row>
    <row r="26" spans="4:10">
      <c r="D26" s="2"/>
      <c r="G26" s="2"/>
      <c r="J26" s="2"/>
    </row>
    <row r="27" spans="4:16">
      <c r="D27" s="2" t="s">
        <v>37</v>
      </c>
      <c r="E27" s="2"/>
      <c r="G27" s="2" t="s">
        <v>38</v>
      </c>
      <c r="H27" s="2"/>
      <c r="J27" s="2" t="s">
        <v>39</v>
      </c>
      <c r="N27" s="2" t="s">
        <v>40</v>
      </c>
      <c r="O27" s="2"/>
      <c r="P27" s="2"/>
    </row>
    <row r="28" spans="1:16">
      <c r="A28" s="7" t="s">
        <v>5</v>
      </c>
      <c r="B28" s="7" t="s">
        <v>41</v>
      </c>
      <c r="C28" s="8"/>
      <c r="D28" s="3" t="s">
        <v>5</v>
      </c>
      <c r="E28" s="3" t="s">
        <v>8</v>
      </c>
      <c r="F28" s="8"/>
      <c r="G28" s="3" t="s">
        <v>5</v>
      </c>
      <c r="H28" s="3" t="s">
        <v>7</v>
      </c>
      <c r="I28" s="8"/>
      <c r="J28" s="3" t="s">
        <v>5</v>
      </c>
      <c r="K28" s="3" t="s">
        <v>11</v>
      </c>
      <c r="L28" s="8"/>
      <c r="M28" s="8"/>
      <c r="N28" s="3" t="s">
        <v>5</v>
      </c>
      <c r="O28" s="3" t="s">
        <v>13</v>
      </c>
      <c r="P28" s="2"/>
    </row>
    <row r="29" spans="1:16">
      <c r="A29" s="7" t="s">
        <v>42</v>
      </c>
      <c r="B29" s="7" t="s">
        <v>43</v>
      </c>
      <c r="D29" s="3" t="s">
        <v>44</v>
      </c>
      <c r="E29" s="3">
        <v>400000</v>
      </c>
      <c r="G29" s="13" t="s">
        <v>45</v>
      </c>
      <c r="H29" s="3" t="s">
        <v>46</v>
      </c>
      <c r="J29" s="3" t="s">
        <v>47</v>
      </c>
      <c r="K29" s="3">
        <v>0.2</v>
      </c>
      <c r="N29" s="14" t="s">
        <v>48</v>
      </c>
      <c r="O29" s="4" t="s">
        <v>49</v>
      </c>
      <c r="P29" s="2"/>
    </row>
    <row r="30" spans="1:16">
      <c r="A30" s="7" t="s">
        <v>50</v>
      </c>
      <c r="B30" s="7" t="s">
        <v>51</v>
      </c>
      <c r="D30" s="3" t="s">
        <v>52</v>
      </c>
      <c r="E30" s="3">
        <v>600000</v>
      </c>
      <c r="G30" s="13" t="s">
        <v>53</v>
      </c>
      <c r="H30" s="3" t="s">
        <v>54</v>
      </c>
      <c r="J30" s="3" t="s">
        <v>55</v>
      </c>
      <c r="K30" s="3">
        <v>0.3</v>
      </c>
      <c r="N30" s="14" t="s">
        <v>53</v>
      </c>
      <c r="O30" s="4" t="s">
        <v>56</v>
      </c>
      <c r="P30" s="2"/>
    </row>
    <row r="31" spans="1:16">
      <c r="A31" s="7" t="s">
        <v>57</v>
      </c>
      <c r="B31" s="7" t="s">
        <v>58</v>
      </c>
      <c r="D31" s="3" t="s">
        <v>47</v>
      </c>
      <c r="E31" s="3">
        <v>900000</v>
      </c>
      <c r="G31" s="13" t="s">
        <v>59</v>
      </c>
      <c r="H31" s="3" t="s">
        <v>60</v>
      </c>
      <c r="J31" s="3" t="s">
        <v>61</v>
      </c>
      <c r="K31" s="3">
        <v>0.4</v>
      </c>
      <c r="N31" s="14" t="s">
        <v>59</v>
      </c>
      <c r="O31" s="4" t="s">
        <v>62</v>
      </c>
      <c r="P31" s="2"/>
    </row>
    <row r="32" spans="1:16">
      <c r="A32" s="7" t="s">
        <v>63</v>
      </c>
      <c r="B32" s="7" t="s">
        <v>64</v>
      </c>
      <c r="D32" s="3" t="s">
        <v>55</v>
      </c>
      <c r="E32" s="3">
        <v>800000</v>
      </c>
      <c r="G32" s="13" t="s">
        <v>48</v>
      </c>
      <c r="H32" s="3" t="s">
        <v>65</v>
      </c>
      <c r="J32" s="3" t="s">
        <v>52</v>
      </c>
      <c r="K32" s="3">
        <v>0.5</v>
      </c>
      <c r="N32" s="14" t="s">
        <v>45</v>
      </c>
      <c r="O32" s="4" t="s">
        <v>66</v>
      </c>
      <c r="P32" s="2"/>
    </row>
    <row r="33" spans="1:16">
      <c r="A33" s="7" t="s">
        <v>67</v>
      </c>
      <c r="B33" s="7" t="s">
        <v>68</v>
      </c>
      <c r="D33" s="3" t="s">
        <v>61</v>
      </c>
      <c r="E33" s="3">
        <v>450000</v>
      </c>
      <c r="G33" s="13" t="s">
        <v>69</v>
      </c>
      <c r="H33" s="3" t="s">
        <v>70</v>
      </c>
      <c r="J33" s="3" t="s">
        <v>44</v>
      </c>
      <c r="K33" s="3">
        <v>0.6</v>
      </c>
      <c r="N33" s="14" t="s">
        <v>69</v>
      </c>
      <c r="O33" s="4" t="s">
        <v>71</v>
      </c>
      <c r="P33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K26"/>
  <sheetViews>
    <sheetView zoomScale="70" zoomScaleNormal="70" topLeftCell="A2" workbookViewId="0">
      <selection activeCell="B6" sqref="B6:K26"/>
    </sheetView>
  </sheetViews>
  <sheetFormatPr defaultColWidth="9.1" defaultRowHeight="14.55"/>
  <cols>
    <col min="3" max="3" width="15.5666666666667" customWidth="1"/>
    <col min="4" max="4" width="17.4416666666667" customWidth="1"/>
  </cols>
  <sheetData>
    <row r="6" spans="2:11">
      <c r="B6" s="1" t="s">
        <v>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36</v>
      </c>
      <c r="K6" s="1" t="s">
        <v>79</v>
      </c>
    </row>
    <row r="7" spans="2:11">
      <c r="B7" s="1">
        <v>1</v>
      </c>
      <c r="C7" s="1" t="s">
        <v>80</v>
      </c>
      <c r="D7" s="1" t="s">
        <v>81</v>
      </c>
      <c r="E7" s="1">
        <v>10</v>
      </c>
      <c r="F7" s="1">
        <v>12</v>
      </c>
      <c r="G7" s="1">
        <v>14</v>
      </c>
      <c r="H7" s="1">
        <v>10</v>
      </c>
      <c r="I7" s="1">
        <v>16</v>
      </c>
      <c r="J7" s="1">
        <f>SUM(E7:I7)</f>
        <v>62</v>
      </c>
      <c r="K7" s="1" t="s">
        <v>82</v>
      </c>
    </row>
    <row r="8" spans="2:11">
      <c r="B8" s="1">
        <v>2</v>
      </c>
      <c r="C8" s="1" t="s">
        <v>83</v>
      </c>
      <c r="D8" s="1" t="s">
        <v>84</v>
      </c>
      <c r="E8" s="1">
        <v>12</v>
      </c>
      <c r="F8" s="1">
        <v>14</v>
      </c>
      <c r="G8" s="1">
        <v>16</v>
      </c>
      <c r="H8" s="1">
        <v>8</v>
      </c>
      <c r="I8" s="1">
        <v>18</v>
      </c>
      <c r="J8" s="1">
        <f t="shared" ref="J8:J26" si="0">SUM(E8:I8)</f>
        <v>68</v>
      </c>
      <c r="K8" s="1" t="s">
        <v>85</v>
      </c>
    </row>
    <row r="9" spans="2:11">
      <c r="B9" s="1">
        <v>3</v>
      </c>
      <c r="C9" s="1" t="s">
        <v>86</v>
      </c>
      <c r="D9" s="1" t="s">
        <v>87</v>
      </c>
      <c r="E9" s="1">
        <v>10</v>
      </c>
      <c r="F9" s="1">
        <v>16</v>
      </c>
      <c r="G9" s="1">
        <v>10</v>
      </c>
      <c r="H9" s="1">
        <v>14</v>
      </c>
      <c r="I9" s="1">
        <v>12</v>
      </c>
      <c r="J9" s="1">
        <f t="shared" si="0"/>
        <v>62</v>
      </c>
      <c r="K9" s="1" t="s">
        <v>88</v>
      </c>
    </row>
    <row r="10" spans="2:11">
      <c r="B10" s="1">
        <v>4</v>
      </c>
      <c r="C10" s="1" t="s">
        <v>89</v>
      </c>
      <c r="D10" s="1" t="s">
        <v>90</v>
      </c>
      <c r="E10" s="1">
        <v>14</v>
      </c>
      <c r="F10" s="1">
        <v>16</v>
      </c>
      <c r="G10" s="1">
        <v>18</v>
      </c>
      <c r="H10" s="1">
        <v>12</v>
      </c>
      <c r="I10" s="1">
        <v>14</v>
      </c>
      <c r="J10" s="1">
        <f t="shared" si="0"/>
        <v>74</v>
      </c>
      <c r="K10" s="1" t="s">
        <v>82</v>
      </c>
    </row>
    <row r="11" spans="2:11">
      <c r="B11" s="1">
        <v>5</v>
      </c>
      <c r="C11" s="1" t="s">
        <v>91</v>
      </c>
      <c r="D11" s="1" t="s">
        <v>92</v>
      </c>
      <c r="E11" s="1">
        <v>12</v>
      </c>
      <c r="F11" s="1">
        <v>14</v>
      </c>
      <c r="G11" s="1">
        <v>18</v>
      </c>
      <c r="H11" s="1">
        <v>14</v>
      </c>
      <c r="I11" s="1">
        <v>16</v>
      </c>
      <c r="J11" s="1">
        <f t="shared" si="0"/>
        <v>74</v>
      </c>
      <c r="K11" s="1" t="s">
        <v>88</v>
      </c>
    </row>
    <row r="12" spans="2:11">
      <c r="B12" s="1">
        <v>6</v>
      </c>
      <c r="C12" s="1" t="s">
        <v>80</v>
      </c>
      <c r="D12" s="1" t="s">
        <v>93</v>
      </c>
      <c r="E12" s="1">
        <v>10</v>
      </c>
      <c r="F12" s="1">
        <v>12</v>
      </c>
      <c r="G12" s="1">
        <v>18</v>
      </c>
      <c r="H12" s="1">
        <v>16</v>
      </c>
      <c r="I12" s="1">
        <v>14</v>
      </c>
      <c r="J12" s="1">
        <f t="shared" si="0"/>
        <v>70</v>
      </c>
      <c r="K12" s="1" t="s">
        <v>85</v>
      </c>
    </row>
    <row r="13" spans="2:11">
      <c r="B13" s="1">
        <v>7</v>
      </c>
      <c r="C13" s="1" t="s">
        <v>83</v>
      </c>
      <c r="D13" s="1" t="s">
        <v>94</v>
      </c>
      <c r="E13" s="1">
        <v>12</v>
      </c>
      <c r="F13" s="1">
        <v>14</v>
      </c>
      <c r="G13" s="1">
        <v>16</v>
      </c>
      <c r="H13" s="1">
        <v>14</v>
      </c>
      <c r="I13" s="1">
        <v>12</v>
      </c>
      <c r="J13" s="1">
        <f t="shared" si="0"/>
        <v>68</v>
      </c>
      <c r="K13" s="1" t="s">
        <v>88</v>
      </c>
    </row>
    <row r="14" spans="2:11">
      <c r="B14" s="1">
        <v>8</v>
      </c>
      <c r="C14" s="1" t="s">
        <v>86</v>
      </c>
      <c r="D14" s="1" t="s">
        <v>93</v>
      </c>
      <c r="E14" s="1">
        <v>14</v>
      </c>
      <c r="F14" s="1">
        <v>16</v>
      </c>
      <c r="G14" s="1">
        <v>10</v>
      </c>
      <c r="H14" s="1">
        <v>18</v>
      </c>
      <c r="I14" s="1">
        <v>18</v>
      </c>
      <c r="J14" s="1">
        <f t="shared" si="0"/>
        <v>76</v>
      </c>
      <c r="K14" s="1" t="s">
        <v>85</v>
      </c>
    </row>
    <row r="15" spans="2:11">
      <c r="B15" s="1">
        <v>9</v>
      </c>
      <c r="C15" s="1" t="s">
        <v>89</v>
      </c>
      <c r="D15" s="1" t="s">
        <v>95</v>
      </c>
      <c r="E15" s="1">
        <v>8</v>
      </c>
      <c r="F15" s="1">
        <v>10</v>
      </c>
      <c r="G15" s="1">
        <v>14</v>
      </c>
      <c r="H15" s="1">
        <v>12</v>
      </c>
      <c r="I15" s="1">
        <v>14</v>
      </c>
      <c r="J15" s="1">
        <f t="shared" si="0"/>
        <v>58</v>
      </c>
      <c r="K15" s="1" t="s">
        <v>88</v>
      </c>
    </row>
    <row r="16" spans="2:11">
      <c r="B16" s="1">
        <v>10</v>
      </c>
      <c r="C16" s="1" t="s">
        <v>91</v>
      </c>
      <c r="D16" s="1" t="s">
        <v>96</v>
      </c>
      <c r="E16" s="1">
        <v>16</v>
      </c>
      <c r="F16" s="1">
        <v>18</v>
      </c>
      <c r="G16" s="1">
        <v>12</v>
      </c>
      <c r="H16" s="1">
        <v>14</v>
      </c>
      <c r="I16" s="1">
        <v>16</v>
      </c>
      <c r="J16" s="1">
        <f t="shared" si="0"/>
        <v>76</v>
      </c>
      <c r="K16" s="1" t="s">
        <v>82</v>
      </c>
    </row>
    <row r="17" spans="2:11">
      <c r="B17" s="1">
        <v>11</v>
      </c>
      <c r="C17" s="1" t="s">
        <v>80</v>
      </c>
      <c r="D17" s="1" t="s">
        <v>25</v>
      </c>
      <c r="E17" s="1">
        <v>10</v>
      </c>
      <c r="F17" s="1">
        <v>12</v>
      </c>
      <c r="G17" s="1">
        <v>14</v>
      </c>
      <c r="H17" s="1">
        <v>8</v>
      </c>
      <c r="I17" s="1">
        <v>16</v>
      </c>
      <c r="J17" s="1">
        <f t="shared" si="0"/>
        <v>60</v>
      </c>
      <c r="K17" s="1" t="s">
        <v>85</v>
      </c>
    </row>
    <row r="18" spans="2:11">
      <c r="B18" s="1">
        <v>12</v>
      </c>
      <c r="C18" s="1" t="s">
        <v>83</v>
      </c>
      <c r="D18" s="1" t="s">
        <v>97</v>
      </c>
      <c r="E18" s="1">
        <v>12</v>
      </c>
      <c r="F18" s="1">
        <v>14</v>
      </c>
      <c r="G18" s="1">
        <v>16</v>
      </c>
      <c r="H18" s="1">
        <v>10</v>
      </c>
      <c r="I18" s="1">
        <v>18</v>
      </c>
      <c r="J18" s="1">
        <f t="shared" si="0"/>
        <v>70</v>
      </c>
      <c r="K18" s="1" t="s">
        <v>82</v>
      </c>
    </row>
    <row r="19" spans="2:11">
      <c r="B19" s="1">
        <v>13</v>
      </c>
      <c r="C19" s="1" t="s">
        <v>86</v>
      </c>
      <c r="D19" s="1" t="s">
        <v>98</v>
      </c>
      <c r="E19" s="1">
        <v>18</v>
      </c>
      <c r="F19" s="1">
        <v>16</v>
      </c>
      <c r="G19" s="1">
        <v>18</v>
      </c>
      <c r="H19" s="1">
        <v>14</v>
      </c>
      <c r="I19" s="1">
        <v>12</v>
      </c>
      <c r="J19" s="1">
        <f t="shared" si="0"/>
        <v>78</v>
      </c>
      <c r="K19" s="1" t="s">
        <v>88</v>
      </c>
    </row>
    <row r="20" spans="2:11">
      <c r="B20" s="1">
        <v>14</v>
      </c>
      <c r="C20" s="1" t="s">
        <v>89</v>
      </c>
      <c r="D20" s="1" t="s">
        <v>99</v>
      </c>
      <c r="E20" s="1">
        <v>14</v>
      </c>
      <c r="F20" s="1">
        <v>16</v>
      </c>
      <c r="G20" s="1">
        <v>18</v>
      </c>
      <c r="H20" s="1">
        <v>12</v>
      </c>
      <c r="I20" s="1">
        <v>14</v>
      </c>
      <c r="J20" s="1">
        <f t="shared" si="0"/>
        <v>74</v>
      </c>
      <c r="K20" s="1" t="s">
        <v>85</v>
      </c>
    </row>
    <row r="21" spans="2:11">
      <c r="B21" s="1">
        <v>15</v>
      </c>
      <c r="C21" s="1" t="s">
        <v>91</v>
      </c>
      <c r="D21" s="1" t="s">
        <v>100</v>
      </c>
      <c r="E21" s="1">
        <v>12</v>
      </c>
      <c r="F21" s="1">
        <v>14</v>
      </c>
      <c r="G21" s="1">
        <v>18</v>
      </c>
      <c r="H21" s="1">
        <v>14</v>
      </c>
      <c r="I21" s="1">
        <v>16</v>
      </c>
      <c r="J21" s="1">
        <f t="shared" si="0"/>
        <v>74</v>
      </c>
      <c r="K21" s="1" t="s">
        <v>82</v>
      </c>
    </row>
    <row r="22" spans="2:11">
      <c r="B22" s="1">
        <v>16</v>
      </c>
      <c r="C22" s="1" t="s">
        <v>80</v>
      </c>
      <c r="D22" s="1" t="s">
        <v>101</v>
      </c>
      <c r="E22" s="1">
        <v>10</v>
      </c>
      <c r="F22" s="1">
        <v>12</v>
      </c>
      <c r="G22" s="1">
        <v>18</v>
      </c>
      <c r="H22" s="1">
        <v>16</v>
      </c>
      <c r="I22" s="1">
        <v>14</v>
      </c>
      <c r="J22" s="1">
        <f t="shared" si="0"/>
        <v>70</v>
      </c>
      <c r="K22" s="1" t="s">
        <v>88</v>
      </c>
    </row>
    <row r="23" spans="2:11">
      <c r="B23" s="1">
        <v>17</v>
      </c>
      <c r="C23" s="1" t="s">
        <v>83</v>
      </c>
      <c r="D23" s="1" t="s">
        <v>102</v>
      </c>
      <c r="E23" s="1">
        <v>12</v>
      </c>
      <c r="F23" s="1">
        <v>14</v>
      </c>
      <c r="G23" s="1">
        <v>16</v>
      </c>
      <c r="H23" s="1">
        <v>14</v>
      </c>
      <c r="I23" s="1">
        <v>12</v>
      </c>
      <c r="J23" s="1">
        <f t="shared" si="0"/>
        <v>68</v>
      </c>
      <c r="K23" s="1" t="s">
        <v>85</v>
      </c>
    </row>
    <row r="24" spans="2:11">
      <c r="B24" s="1">
        <v>18</v>
      </c>
      <c r="C24" s="1" t="s">
        <v>86</v>
      </c>
      <c r="D24" s="1" t="s">
        <v>103</v>
      </c>
      <c r="E24" s="1">
        <v>14</v>
      </c>
      <c r="F24" s="1">
        <v>16</v>
      </c>
      <c r="G24" s="1">
        <v>10</v>
      </c>
      <c r="H24" s="1">
        <v>18</v>
      </c>
      <c r="I24" s="1">
        <v>18</v>
      </c>
      <c r="J24" s="1">
        <f t="shared" si="0"/>
        <v>76</v>
      </c>
      <c r="K24" s="1" t="s">
        <v>88</v>
      </c>
    </row>
    <row r="25" spans="2:11">
      <c r="B25" s="1">
        <v>19</v>
      </c>
      <c r="C25" s="1" t="s">
        <v>89</v>
      </c>
      <c r="D25" s="1" t="s">
        <v>104</v>
      </c>
      <c r="E25" s="1">
        <v>8</v>
      </c>
      <c r="F25" s="1">
        <v>10</v>
      </c>
      <c r="G25" s="1">
        <v>14</v>
      </c>
      <c r="H25" s="1">
        <v>12</v>
      </c>
      <c r="I25" s="1">
        <v>14</v>
      </c>
      <c r="J25" s="1">
        <f t="shared" si="0"/>
        <v>58</v>
      </c>
      <c r="K25" s="1" t="s">
        <v>82</v>
      </c>
    </row>
    <row r="26" spans="2:11">
      <c r="B26" s="1">
        <v>20</v>
      </c>
      <c r="C26" s="1" t="s">
        <v>91</v>
      </c>
      <c r="D26" s="1" t="s">
        <v>105</v>
      </c>
      <c r="E26" s="1">
        <v>16</v>
      </c>
      <c r="F26" s="1">
        <v>18</v>
      </c>
      <c r="G26" s="1">
        <v>12</v>
      </c>
      <c r="H26" s="1">
        <v>14</v>
      </c>
      <c r="I26" s="1">
        <v>16</v>
      </c>
      <c r="J26" s="1">
        <f t="shared" si="0"/>
        <v>76</v>
      </c>
      <c r="K26" s="1" t="s">
        <v>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12" sqref="A12"/>
    </sheetView>
  </sheetViews>
  <sheetFormatPr defaultColWidth="9.1" defaultRowHeight="14.55" outlineLevelCol="1"/>
  <cols>
    <col min="1" max="1" width="15.1166666666667"/>
    <col min="2" max="2" width="13.0083333333333"/>
    <col min="3" max="3" width="13.0833333333333"/>
    <col min="4" max="4" width="8.56666666666667"/>
    <col min="5" max="5" width="11.0666666666667"/>
  </cols>
  <sheetData>
    <row r="3" spans="1:2">
      <c r="A3" t="s">
        <v>72</v>
      </c>
      <c r="B3" t="s">
        <v>106</v>
      </c>
    </row>
    <row r="4" spans="1:2">
      <c r="A4" t="s">
        <v>91</v>
      </c>
      <c r="B4">
        <v>300</v>
      </c>
    </row>
    <row r="5" spans="1:2">
      <c r="A5" t="s">
        <v>80</v>
      </c>
      <c r="B5">
        <v>262</v>
      </c>
    </row>
    <row r="6" spans="1:2">
      <c r="A6" t="s">
        <v>86</v>
      </c>
      <c r="B6">
        <v>292</v>
      </c>
    </row>
    <row r="7" spans="1:2">
      <c r="A7" t="s">
        <v>83</v>
      </c>
      <c r="B7">
        <v>274</v>
      </c>
    </row>
    <row r="8" spans="1:2">
      <c r="A8" t="s">
        <v>89</v>
      </c>
      <c r="B8">
        <v>264</v>
      </c>
    </row>
    <row r="9" spans="1:2">
      <c r="A9" t="s">
        <v>107</v>
      </c>
      <c r="B9">
        <v>1392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B7" sqref="B7"/>
    </sheetView>
  </sheetViews>
  <sheetFormatPr defaultColWidth="9.1" defaultRowHeight="14.55" outlineLevelRow="6" outlineLevelCol="1"/>
  <cols>
    <col min="1" max="1" width="12"/>
    <col min="2" max="2" width="13.0083333333333"/>
  </cols>
  <sheetData>
    <row r="3" spans="1:2">
      <c r="A3" t="s">
        <v>79</v>
      </c>
      <c r="B3" t="s">
        <v>106</v>
      </c>
    </row>
    <row r="4" spans="1:2">
      <c r="A4" t="s">
        <v>82</v>
      </c>
      <c r="B4">
        <v>414</v>
      </c>
    </row>
    <row r="5" spans="1:2">
      <c r="A5" t="s">
        <v>88</v>
      </c>
      <c r="B5">
        <v>562</v>
      </c>
    </row>
    <row r="6" spans="1:2">
      <c r="A6" t="s">
        <v>85</v>
      </c>
      <c r="B6">
        <v>416</v>
      </c>
    </row>
    <row r="7" spans="1:2">
      <c r="A7" t="s">
        <v>107</v>
      </c>
      <c r="B7">
        <v>1392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hsl</dc:creator>
  <cp:lastModifiedBy>hsl</cp:lastModifiedBy>
  <dcterms:created xsi:type="dcterms:W3CDTF">2026-01-10T07:15:00Z</dcterms:created>
  <dcterms:modified xsi:type="dcterms:W3CDTF">2026-01-09T15:20:51Z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3414755D9851105B11275D69302F50B4_41</vt:lpwstr>
  </property>
  <property fmtid="{D5CDD505-2E9C-101B-9397-08002B2CF9AE}" pid="3" name="KSOProductBuildVer">
    <vt:lpwstr>1033-12.8.2.22595</vt:lpwstr>
  </property>
</Properties>
</file>